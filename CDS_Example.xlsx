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ctober/Documents/Github/Finance/"/>
    </mc:Choice>
  </mc:AlternateContent>
  <xr:revisionPtr revIDLastSave="0" documentId="8_{789CABCC-8E56-3143-B913-58F4C1FC8086}" xr6:coauthVersionLast="47" xr6:coauthVersionMax="47" xr10:uidLastSave="{00000000-0000-0000-0000-000000000000}"/>
  <bookViews>
    <workbookView xWindow="680" yWindow="740" windowWidth="28040" windowHeight="17260" xr2:uid="{23752F79-DEFE-6947-BB84-67C363A1199E}"/>
  </bookViews>
  <sheets>
    <sheet name="Sheet1" sheetId="1" r:id="rId1"/>
  </sheets>
  <definedNames>
    <definedName name="solver_adj" localSheetId="0" hidden="1">Sheet1!$B$2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opt" localSheetId="0" hidden="1">Sheet1!$B$21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/>
  <c r="J11" i="1"/>
  <c r="J12" i="1"/>
  <c r="J13" i="1"/>
  <c r="J14" i="1"/>
  <c r="J9" i="1"/>
  <c r="G10" i="1"/>
  <c r="G11" i="1"/>
  <c r="G12" i="1"/>
  <c r="G13" i="1"/>
  <c r="G14" i="1"/>
  <c r="G9" i="1"/>
  <c r="D10" i="1"/>
  <c r="D11" i="1"/>
  <c r="D12" i="1"/>
  <c r="D13" i="1"/>
  <c r="D14" i="1"/>
  <c r="D9" i="1"/>
  <c r="C9" i="1"/>
  <c r="B9" i="1"/>
  <c r="E9" i="1" l="1"/>
  <c r="B10" i="1"/>
  <c r="C10" i="1" s="1"/>
  <c r="I9" i="1"/>
  <c r="K9" i="1" s="1"/>
  <c r="F9" i="1"/>
  <c r="H9" i="1" s="1"/>
  <c r="E10" i="1" l="1"/>
  <c r="B11" i="1"/>
  <c r="F10" i="1"/>
  <c r="H10" i="1" s="1"/>
  <c r="I10" i="1"/>
  <c r="K10" i="1" s="1"/>
  <c r="F11" i="1" l="1"/>
  <c r="H11" i="1" s="1"/>
  <c r="I11" i="1"/>
  <c r="K11" i="1" s="1"/>
  <c r="C11" i="1"/>
  <c r="B12" i="1" l="1"/>
  <c r="E11" i="1"/>
  <c r="F12" i="1" l="1"/>
  <c r="H12" i="1" s="1"/>
  <c r="I12" i="1"/>
  <c r="K12" i="1" s="1"/>
  <c r="C12" i="1"/>
  <c r="B13" i="1" l="1"/>
  <c r="C13" i="1" s="1"/>
  <c r="E12" i="1"/>
  <c r="F13" i="1" l="1"/>
  <c r="H13" i="1" s="1"/>
  <c r="I13" i="1"/>
  <c r="K13" i="1" s="1"/>
  <c r="B14" i="1"/>
  <c r="C14" i="1"/>
  <c r="E14" i="1" s="1"/>
  <c r="E13" i="1"/>
  <c r="F14" i="1" l="1"/>
  <c r="H14" i="1" s="1"/>
  <c r="H16" i="1" s="1"/>
  <c r="I14" i="1"/>
  <c r="K14" i="1" s="1"/>
  <c r="K16" i="1" s="1"/>
  <c r="B16" i="1" s="1"/>
  <c r="E16" i="1"/>
  <c r="B17" i="1" l="1"/>
  <c r="B19" i="1" l="1"/>
  <c r="B21" i="1" s="1"/>
</calcChain>
</file>

<file path=xl/sharedStrings.xml><?xml version="1.0" encoding="utf-8"?>
<sst xmlns="http://schemas.openxmlformats.org/spreadsheetml/2006/main" count="25" uniqueCount="21">
  <si>
    <t>probability of default (annual)</t>
  </si>
  <si>
    <t>recovery rate</t>
  </si>
  <si>
    <t>cost of finance (annual)</t>
  </si>
  <si>
    <t>defaults occur mid-year</t>
  </si>
  <si>
    <t>Year</t>
  </si>
  <si>
    <t>Probability of default</t>
  </si>
  <si>
    <t>probability of survival</t>
  </si>
  <si>
    <t>discount factor</t>
  </si>
  <si>
    <t>DCF (swap rate no default)</t>
  </si>
  <si>
    <t>swap rate given default</t>
  </si>
  <si>
    <t>DCF (swap rate given default)</t>
  </si>
  <si>
    <t>payable (given default)</t>
  </si>
  <si>
    <t>DCF (payable given default)</t>
  </si>
  <si>
    <t>Expected payable DCF</t>
  </si>
  <si>
    <t>Expected received premium</t>
  </si>
  <si>
    <t>Equilibrium swap rate, bps</t>
  </si>
  <si>
    <t>duration (years)</t>
  </si>
  <si>
    <t>known</t>
  </si>
  <si>
    <t>known through contract</t>
  </si>
  <si>
    <t>implied through the known</t>
  </si>
  <si>
    <t>expected payoff (swap seller)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</si>
</sst>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0.00000"/>
    <numFmt numFmtId="173" formatCode="0.0000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B0F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10" fontId="0" fillId="0" borderId="0" xfId="0" applyNumberFormat="1"/>
    <xf numFmtId="0" fontId="0" fillId="0" borderId="0" xfId="0" applyAlignment="1">
      <alignment wrapText="1"/>
    </xf>
    <xf numFmtId="172" fontId="0" fillId="0" borderId="0" xfId="0" applyNumberFormat="1"/>
    <xf numFmtId="173" fontId="0" fillId="0" borderId="0" xfId="0" applyNumberFormat="1"/>
    <xf numFmtId="172" fontId="0" fillId="0" borderId="0" xfId="1" applyNumberFormat="1" applyFont="1"/>
    <xf numFmtId="10" fontId="0" fillId="2" borderId="0" xfId="0" applyNumberFormat="1" applyFill="1"/>
    <xf numFmtId="0" fontId="3" fillId="0" borderId="0" xfId="0" applyFont="1"/>
    <xf numFmtId="0" fontId="2" fillId="0" borderId="0" xfId="0" applyFont="1"/>
    <xf numFmtId="9" fontId="0" fillId="3" borderId="0" xfId="0" applyNumberFormat="1" applyFill="1"/>
    <xf numFmtId="10" fontId="0" fillId="3" borderId="0" xfId="0" applyNumberFormat="1" applyFill="1"/>
    <xf numFmtId="0" fontId="0" fillId="3" borderId="0" xfId="0" applyFill="1"/>
    <xf numFmtId="0" fontId="0" fillId="3" borderId="0" xfId="1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70F35-0F70-C74C-B47B-07B7D4677E76}">
  <dimension ref="A2:K21"/>
  <sheetViews>
    <sheetView tabSelected="1" workbookViewId="0">
      <selection activeCell="B2" sqref="B2"/>
    </sheetView>
  </sheetViews>
  <sheetFormatPr baseColWidth="10" defaultRowHeight="16" x14ac:dyDescent="0.2"/>
  <cols>
    <col min="1" max="1" width="27.33203125" customWidth="1"/>
    <col min="2" max="2" width="20.83203125" customWidth="1"/>
  </cols>
  <sheetData>
    <row r="2" spans="1:11" x14ac:dyDescent="0.2">
      <c r="A2" t="s">
        <v>0</v>
      </c>
      <c r="B2" s="6">
        <v>1.7299999999999999E-2</v>
      </c>
      <c r="C2" s="7" t="s">
        <v>19</v>
      </c>
    </row>
    <row r="3" spans="1:11" x14ac:dyDescent="0.2">
      <c r="A3" t="s">
        <v>1</v>
      </c>
      <c r="B3" s="9">
        <v>0.25</v>
      </c>
      <c r="C3" s="8" t="s">
        <v>17</v>
      </c>
    </row>
    <row r="4" spans="1:11" x14ac:dyDescent="0.2">
      <c r="A4" t="s">
        <v>2</v>
      </c>
      <c r="B4" s="10">
        <v>6.1100000000000002E-2</v>
      </c>
      <c r="C4" s="8" t="s">
        <v>17</v>
      </c>
    </row>
    <row r="5" spans="1:11" x14ac:dyDescent="0.2">
      <c r="A5" t="s">
        <v>16</v>
      </c>
      <c r="B5" s="11">
        <v>6</v>
      </c>
      <c r="C5" s="8" t="s">
        <v>17</v>
      </c>
    </row>
    <row r="6" spans="1:11" x14ac:dyDescent="0.2">
      <c r="A6" t="s">
        <v>3</v>
      </c>
    </row>
    <row r="8" spans="1:11" s="2" customFormat="1" ht="68" x14ac:dyDescent="0.2">
      <c r="A8" s="2" t="s">
        <v>4</v>
      </c>
      <c r="B8" s="2" t="s">
        <v>5</v>
      </c>
      <c r="C8" s="2" t="s">
        <v>6</v>
      </c>
      <c r="D8" s="2" t="s">
        <v>7</v>
      </c>
      <c r="E8" s="2" t="s">
        <v>8</v>
      </c>
      <c r="F8" s="2" t="s">
        <v>9</v>
      </c>
      <c r="G8" s="2" t="s">
        <v>7</v>
      </c>
      <c r="H8" s="2" t="s">
        <v>10</v>
      </c>
      <c r="I8" s="2" t="s">
        <v>11</v>
      </c>
      <c r="J8" s="2" t="s">
        <v>7</v>
      </c>
      <c r="K8" s="2" t="s">
        <v>12</v>
      </c>
    </row>
    <row r="9" spans="1:11" x14ac:dyDescent="0.2">
      <c r="A9">
        <v>1</v>
      </c>
      <c r="B9" s="1">
        <f>B2</f>
        <v>1.7299999999999999E-2</v>
      </c>
      <c r="C9" s="1">
        <f>1-B2</f>
        <v>0.98270000000000002</v>
      </c>
      <c r="D9" s="4">
        <f>1/(1+$B$4)^A9</f>
        <v>0.9424182452172275</v>
      </c>
      <c r="E9" s="4">
        <f>C9*D9</f>
        <v>0.92611440957496949</v>
      </c>
      <c r="F9" s="4">
        <f>B9/2</f>
        <v>8.6499999999999997E-3</v>
      </c>
      <c r="G9" s="4">
        <f>1/(1+$B$4)^(A9-0.5)</f>
        <v>0.97078228517893106</v>
      </c>
      <c r="H9" s="3">
        <f>F9*G9</f>
        <v>8.3972667667977542E-3</v>
      </c>
      <c r="I9" s="5">
        <f>B9*(1-$B$3)</f>
        <v>1.2975E-2</v>
      </c>
      <c r="J9" s="4">
        <f>G9</f>
        <v>0.97078228517893106</v>
      </c>
      <c r="K9" s="3">
        <f>I9*J9</f>
        <v>1.2595900150196631E-2</v>
      </c>
    </row>
    <row r="10" spans="1:11" x14ac:dyDescent="0.2">
      <c r="A10">
        <v>2</v>
      </c>
      <c r="B10" s="1">
        <f>C9*$B$2</f>
        <v>1.7000709999999999E-2</v>
      </c>
      <c r="C10" s="1">
        <f>C9-B10</f>
        <v>0.96569928999999999</v>
      </c>
      <c r="D10" s="4">
        <f t="shared" ref="D10:D14" si="0">1/(1+$B$4)^A10</f>
        <v>0.88815214891831828</v>
      </c>
      <c r="E10" s="4">
        <f t="shared" ref="E10:E14" si="1">C10*D10</f>
        <v>0.85768789962239422</v>
      </c>
      <c r="F10" s="4">
        <f t="shared" ref="F10:F14" si="2">B10/2</f>
        <v>8.5003549999999994E-3</v>
      </c>
      <c r="G10" s="4">
        <f t="shared" ref="G10:G14" si="3">1/(1+$B$4)^(A10-0.5)</f>
        <v>0.91488293768629825</v>
      </c>
      <c r="H10" s="3">
        <f t="shared" ref="H10:H14" si="4">F10*G10</f>
        <v>7.7768297537764135E-3</v>
      </c>
      <c r="I10" s="5">
        <f t="shared" ref="I10:I14" si="5">B10*(1-$B$3)</f>
        <v>1.2750532499999998E-2</v>
      </c>
      <c r="J10" s="4">
        <f t="shared" ref="J10:J14" si="6">G10</f>
        <v>0.91488293768629825</v>
      </c>
      <c r="K10" s="3">
        <f t="shared" ref="K10:K14" si="7">I10*J10</f>
        <v>1.1665244630664619E-2</v>
      </c>
    </row>
    <row r="11" spans="1:11" x14ac:dyDescent="0.2">
      <c r="A11">
        <v>3</v>
      </c>
      <c r="B11" s="1">
        <f t="shared" ref="B11:B14" si="8">C10*$B$2</f>
        <v>1.6706597716999998E-2</v>
      </c>
      <c r="C11" s="1">
        <f t="shared" ref="C11:C14" si="9">C10-B11</f>
        <v>0.94899269228299998</v>
      </c>
      <c r="D11" s="4">
        <f t="shared" si="0"/>
        <v>0.83701078966951115</v>
      </c>
      <c r="E11" s="4">
        <f t="shared" si="1"/>
        <v>0.79431712275838917</v>
      </c>
      <c r="F11" s="4">
        <f t="shared" si="2"/>
        <v>8.3532988584999988E-3</v>
      </c>
      <c r="G11" s="4">
        <f t="shared" si="3"/>
        <v>0.86220237271350331</v>
      </c>
      <c r="H11" s="3">
        <f t="shared" si="4"/>
        <v>7.2022340957836979E-3</v>
      </c>
      <c r="I11" s="5">
        <f t="shared" si="5"/>
        <v>1.2529948287749998E-2</v>
      </c>
      <c r="J11" s="4">
        <f t="shared" si="6"/>
        <v>0.86220237271350331</v>
      </c>
      <c r="K11" s="3">
        <f t="shared" si="7"/>
        <v>1.0803351143675546E-2</v>
      </c>
    </row>
    <row r="12" spans="1:11" x14ac:dyDescent="0.2">
      <c r="A12">
        <v>4</v>
      </c>
      <c r="B12" s="1">
        <f t="shared" si="8"/>
        <v>1.6417573576495897E-2</v>
      </c>
      <c r="C12" s="1">
        <f t="shared" si="9"/>
        <v>0.93257511870650411</v>
      </c>
      <c r="D12" s="4">
        <f t="shared" si="0"/>
        <v>0.7888142396282265</v>
      </c>
      <c r="E12" s="4">
        <f t="shared" si="1"/>
        <v>0.73562853315867416</v>
      </c>
      <c r="F12" s="4">
        <f t="shared" si="2"/>
        <v>8.2087867882479487E-3</v>
      </c>
      <c r="G12" s="4">
        <f t="shared" si="3"/>
        <v>0.81255524711478966</v>
      </c>
      <c r="H12" s="3">
        <f t="shared" si="4"/>
        <v>6.6700927772374323E-3</v>
      </c>
      <c r="I12" s="5">
        <f t="shared" si="5"/>
        <v>1.2313180182371923E-2</v>
      </c>
      <c r="J12" s="4">
        <f t="shared" si="6"/>
        <v>0.81255524711478966</v>
      </c>
      <c r="K12" s="3">
        <f t="shared" si="7"/>
        <v>1.0005139165856148E-2</v>
      </c>
    </row>
    <row r="13" spans="1:11" x14ac:dyDescent="0.2">
      <c r="A13">
        <v>5</v>
      </c>
      <c r="B13" s="1">
        <f t="shared" si="8"/>
        <v>1.613354955362252E-2</v>
      </c>
      <c r="C13" s="1">
        <f t="shared" si="9"/>
        <v>0.91644156915288155</v>
      </c>
      <c r="D13" s="4">
        <f t="shared" si="0"/>
        <v>0.74339293151279473</v>
      </c>
      <c r="E13" s="4">
        <f t="shared" si="1"/>
        <v>0.6812761846527462</v>
      </c>
      <c r="F13" s="4">
        <f t="shared" si="2"/>
        <v>8.0667747768112599E-3</v>
      </c>
      <c r="G13" s="4">
        <f t="shared" si="3"/>
        <v>0.76576689012797083</v>
      </c>
      <c r="H13" s="3">
        <f t="shared" si="4"/>
        <v>6.1772690342015149E-3</v>
      </c>
      <c r="I13" s="5">
        <f t="shared" si="5"/>
        <v>1.210016216521689E-2</v>
      </c>
      <c r="J13" s="4">
        <f t="shared" si="6"/>
        <v>0.76576689012797083</v>
      </c>
      <c r="K13" s="3">
        <f t="shared" si="7"/>
        <v>9.2659035513022719E-3</v>
      </c>
    </row>
    <row r="14" spans="1:11" x14ac:dyDescent="0.2">
      <c r="A14">
        <v>6</v>
      </c>
      <c r="B14" s="1">
        <f t="shared" si="8"/>
        <v>1.5854439146344851E-2</v>
      </c>
      <c r="C14" s="1">
        <f t="shared" si="9"/>
        <v>0.90058713000653667</v>
      </c>
      <c r="D14" s="4">
        <f t="shared" si="0"/>
        <v>0.70058706202317855</v>
      </c>
      <c r="E14" s="4">
        <f t="shared" si="1"/>
        <v>0.63093969150716589</v>
      </c>
      <c r="F14" s="4">
        <f t="shared" si="2"/>
        <v>7.9272195731724254E-3</v>
      </c>
      <c r="G14" s="4">
        <f t="shared" si="3"/>
        <v>0.72167268883985558</v>
      </c>
      <c r="H14" s="3">
        <f t="shared" si="4"/>
        <v>5.7208578643952769E-3</v>
      </c>
      <c r="I14" s="5">
        <f t="shared" si="5"/>
        <v>1.1890829359758638E-2</v>
      </c>
      <c r="J14" s="4">
        <f t="shared" si="6"/>
        <v>0.72167268883985558</v>
      </c>
      <c r="K14" s="3">
        <f t="shared" si="7"/>
        <v>8.5812867965929154E-3</v>
      </c>
    </row>
    <row r="16" spans="1:11" x14ac:dyDescent="0.2">
      <c r="A16" t="s">
        <v>13</v>
      </c>
      <c r="B16" s="4">
        <f>K16</f>
        <v>6.2916825438288124E-2</v>
      </c>
      <c r="E16" s="4">
        <f>SUM(E9:E14)</f>
        <v>4.6259638412743396</v>
      </c>
      <c r="H16">
        <f>SUM(H9:H14)</f>
        <v>4.1944550292192087E-2</v>
      </c>
      <c r="K16" s="3">
        <f>SUM(K9:K14)</f>
        <v>6.2916825438288124E-2</v>
      </c>
    </row>
    <row r="17" spans="1:3" x14ac:dyDescent="0.2">
      <c r="A17" t="s">
        <v>14</v>
      </c>
      <c r="B17" s="4">
        <f>E16+H16</f>
        <v>4.6679083915665318</v>
      </c>
    </row>
    <row r="19" spans="1:3" x14ac:dyDescent="0.2">
      <c r="A19" t="s">
        <v>15</v>
      </c>
      <c r="B19" s="12">
        <f>B16/B17*10000</f>
        <v>134.78590443625541</v>
      </c>
      <c r="C19" s="8" t="s">
        <v>18</v>
      </c>
    </row>
    <row r="21" spans="1:3" x14ac:dyDescent="0.2">
      <c r="A21" t="s">
        <v>20</v>
      </c>
      <c r="B21">
        <f>B17*B19/10000-B16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 Liu</dc:creator>
  <cp:lastModifiedBy>Dong Liu</cp:lastModifiedBy>
  <dcterms:created xsi:type="dcterms:W3CDTF">2025-12-03T01:54:50Z</dcterms:created>
  <dcterms:modified xsi:type="dcterms:W3CDTF">2025-12-03T03:43:43Z</dcterms:modified>
</cp:coreProperties>
</file>